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<sst xmlns="http://schemas.openxmlformats.org/spreadsheetml/2006/main" count="172" uniqueCount="55">
  <si>
    <t>ID</t>
  </si>
  <si>
    <t>arquivo</t>
  </si>
  <si>
    <t>Método</t>
  </si>
  <si>
    <t>Pipeline</t>
  </si>
  <si>
    <t>Descrição</t>
  </si>
  <si>
    <t>Classe 0</t>
  </si>
  <si>
    <t>Classe 1</t>
  </si>
  <si>
    <t>undersampler</t>
  </si>
  <si>
    <t>scaled</t>
  </si>
  <si>
    <t>OpcodeAggregator</t>
  </si>
  <si>
    <t>VarianceThreshold</t>
  </si>
  <si>
    <t>SmartCorrelatedSelection</t>
  </si>
  <si>
    <t>TreeFeatureSelector</t>
  </si>
  <si>
    <t>SelectiveInteraction</t>
  </si>
  <si>
    <t>FlagSparseFeatures</t>
  </si>
  <si>
    <t>LogCpTransformer</t>
  </si>
  <si>
    <t>Precisão</t>
  </si>
  <si>
    <t>Recall</t>
  </si>
  <si>
    <t>F1</t>
  </si>
  <si>
    <t>1_testes_gerais</t>
  </si>
  <si>
    <t>árvore de decisão</t>
  </si>
  <si>
    <t>x</t>
  </si>
  <si>
    <t>random forest</t>
  </si>
  <si>
    <t>knn</t>
  </si>
  <si>
    <t>nb</t>
  </si>
  <si>
    <t>svm (rbf)</t>
  </si>
  <si>
    <t>somente gini</t>
  </si>
  <si>
    <t>svm (linear)</t>
  </si>
  <si>
    <t>svm (poly)</t>
  </si>
  <si>
    <t>svm (sigmoid)</t>
  </si>
  <si>
    <t>redução pca (.65)</t>
  </si>
  <si>
    <t>2_svm_reducao_pca</t>
  </si>
  <si>
    <t>redução pca (.65), degree=3</t>
  </si>
  <si>
    <t>C': 0.1, 'degree': 2, 'gamma': 0.001</t>
  </si>
  <si>
    <t>3_svm_reducao_gini</t>
  </si>
  <si>
    <t>C': 1, 'degree': 2, 'gamma': 'scale', 'kernel': 'poly'</t>
  </si>
  <si>
    <t>4_decisiontree_randomforest_pca_pipeline</t>
  </si>
  <si>
    <t>clf__criterion': 'gini', 'clf__max_depth': 5, 'clf__min_samples_leaf': 1, 'clf__min_samples_split': 2</t>
  </si>
  <si>
    <t>clf__max_depth': None, 'clf__min_samples_leaf': 1, 'clf__min_samples_split': 5, 'clf__n_estimators': 100</t>
  </si>
  <si>
    <t>árvore de decisão (pca)</t>
  </si>
  <si>
    <t>clf__criterion': 'gini', 'clf__max_depth': None, 'clf__min_samples_leaf': 1, 'clf__min_samples_split': 2</t>
  </si>
  <si>
    <t>random forest (pca)</t>
  </si>
  <si>
    <t>clf__max_depth': None, 'clf__min_samples_leaf': 1, 'clf__min_samples_split': 5, 'clf__n_estimators': 50</t>
  </si>
  <si>
    <t>5_decisiontree_randomforest_somente_15</t>
  </si>
  <si>
    <t>random forest (gini)</t>
  </si>
  <si>
    <t>clf__max_depth': 20, 'clf__min_samples_leaf': 1, 'clf__min_samples_split': 5, 'clf__n_estimators': 100</t>
  </si>
  <si>
    <t>6_Pipelines-CrossValidation</t>
  </si>
  <si>
    <t>regressão logística</t>
  </si>
  <si>
    <t>adaboost</t>
  </si>
  <si>
    <t>xgboost</t>
  </si>
  <si>
    <t>lightGBM</t>
  </si>
  <si>
    <t>catboost</t>
  </si>
  <si>
    <t>7_Ensembles</t>
  </si>
  <si>
    <t>ensemble voting</t>
  </si>
  <si>
    <t>stacking classifier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</si>
</sst>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/>
    <font>
      <b/>
      <color theme="7"/>
      <name val="Arial"/>
      <scheme val="minor"/>
    </font>
    <font>
      <b/>
      <sz val="11.0"/>
      <color rgb="FF0000FF"/>
      <name val="Calibri"/>
    </font>
    <font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readingOrder="0" shrinkToFit="0" wrapText="0"/>
    </xf>
    <xf borderId="5" fillId="0" fontId="2" numFmtId="0" xfId="0" applyBorder="1" applyFont="1"/>
    <xf borderId="6" fillId="0" fontId="1" numFmtId="0" xfId="0" applyAlignment="1" applyBorder="1" applyFont="1">
      <alignment readingOrder="0" shrinkToFit="0" wrapText="0"/>
    </xf>
    <xf borderId="6" fillId="0" fontId="1" numFmtId="0" xfId="0" applyAlignment="1" applyBorder="1" applyFont="1">
      <alignment horizontal="center" readingOrder="0" shrinkToFit="0" wrapText="0"/>
    </xf>
    <xf borderId="6" fillId="0" fontId="1" numFmtId="0" xfId="0" applyBorder="1" applyFont="1"/>
    <xf borderId="6" fillId="0" fontId="1" numFmtId="2" xfId="0" applyAlignment="1" applyBorder="1" applyFont="1" applyNumberFormat="1">
      <alignment readingOrder="0" shrinkToFit="0" wrapText="0"/>
    </xf>
    <xf borderId="6" fillId="0" fontId="1" numFmtId="0" xfId="0" applyAlignment="1" applyBorder="1" applyFont="1">
      <alignment shrinkToFit="0" vertical="bottom" wrapText="0"/>
    </xf>
    <xf quotePrefix="1" borderId="6" fillId="0" fontId="1" numFmtId="0" xfId="0" applyAlignment="1" applyBorder="1" applyFont="1">
      <alignment readingOrder="0" shrinkToFit="0" wrapText="0"/>
    </xf>
    <xf borderId="0" fillId="0" fontId="3" numFmtId="0" xfId="0" applyFont="1"/>
    <xf borderId="6" fillId="0" fontId="1" numFmtId="0" xfId="0" applyAlignment="1" applyBorder="1" applyFont="1">
      <alignment readingOrder="0"/>
    </xf>
    <xf borderId="6" fillId="0" fontId="4" numFmtId="0" xfId="0" applyAlignment="1" applyBorder="1" applyFont="1">
      <alignment readingOrder="0" shrinkToFit="0" wrapText="0"/>
    </xf>
    <xf borderId="6" fillId="0" fontId="4" numFmtId="0" xfId="0" applyBorder="1" applyFont="1"/>
    <xf borderId="6" fillId="0" fontId="4" numFmtId="0" xfId="0" applyAlignment="1" applyBorder="1" applyFont="1">
      <alignment readingOrder="0"/>
    </xf>
    <xf borderId="6" fillId="0" fontId="4" numFmtId="2" xfId="0" applyAlignment="1" applyBorder="1" applyFont="1" applyNumberFormat="1">
      <alignment readingOrder="0" shrinkToFit="0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3" max="3" width="23.63"/>
    <col customWidth="1" min="6" max="7" width="23.0"/>
    <col customWidth="1" min="8" max="8" width="22.38"/>
    <col customWidth="1" min="9" max="12" width="16.0"/>
    <col customWidth="1" min="13" max="13" width="14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4"/>
      <c r="M1" s="1" t="s">
        <v>4</v>
      </c>
      <c r="N1" s="5" t="s">
        <v>5</v>
      </c>
      <c r="O1" s="3"/>
      <c r="P1" s="4"/>
      <c r="Q1" s="5" t="s">
        <v>6</v>
      </c>
      <c r="R1" s="3"/>
      <c r="S1" s="4"/>
    </row>
    <row r="2">
      <c r="A2" s="6"/>
      <c r="B2" s="6"/>
      <c r="C2" s="6"/>
      <c r="D2" s="7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6"/>
      <c r="N2" s="7" t="s">
        <v>16</v>
      </c>
      <c r="O2" s="7" t="s">
        <v>17</v>
      </c>
      <c r="P2" s="7" t="s">
        <v>18</v>
      </c>
      <c r="Q2" s="7" t="s">
        <v>16</v>
      </c>
      <c r="R2" s="7" t="s">
        <v>17</v>
      </c>
      <c r="S2" s="7" t="s">
        <v>18</v>
      </c>
    </row>
    <row r="3">
      <c r="A3" s="7">
        <v>1.0</v>
      </c>
      <c r="B3" s="7" t="s">
        <v>19</v>
      </c>
      <c r="C3" s="7" t="s">
        <v>20</v>
      </c>
      <c r="D3" s="7" t="s">
        <v>21</v>
      </c>
      <c r="E3" s="9"/>
      <c r="F3" s="9"/>
      <c r="G3" s="9"/>
      <c r="H3" s="9"/>
      <c r="I3" s="9"/>
      <c r="J3" s="9"/>
      <c r="K3" s="9"/>
      <c r="L3" s="9"/>
      <c r="M3" s="9"/>
      <c r="N3" s="7">
        <v>0.85</v>
      </c>
      <c r="O3" s="7">
        <v>0.66</v>
      </c>
      <c r="P3" s="7"/>
      <c r="Q3" s="7">
        <v>0.42</v>
      </c>
      <c r="R3" s="7">
        <v>0.68</v>
      </c>
      <c r="S3" s="10">
        <f t="shared" ref="S3:S33" si="1">2*((Q3*R3)/(Q3+R3))</f>
        <v>0.5192727273</v>
      </c>
    </row>
    <row r="4">
      <c r="A4" s="7">
        <v>2.0</v>
      </c>
      <c r="B4" s="7" t="s">
        <v>19</v>
      </c>
      <c r="C4" s="7" t="s">
        <v>22</v>
      </c>
      <c r="D4" s="7" t="s">
        <v>21</v>
      </c>
      <c r="E4" s="9"/>
      <c r="F4" s="9"/>
      <c r="G4" s="9"/>
      <c r="H4" s="9"/>
      <c r="I4" s="9"/>
      <c r="J4" s="9"/>
      <c r="K4" s="9"/>
      <c r="L4" s="9"/>
      <c r="M4" s="9"/>
      <c r="N4" s="7">
        <v>0.89</v>
      </c>
      <c r="O4" s="7">
        <v>0.72</v>
      </c>
      <c r="P4" s="7"/>
      <c r="Q4" s="7">
        <v>0.49</v>
      </c>
      <c r="R4" s="7">
        <v>0.75</v>
      </c>
      <c r="S4" s="10">
        <f t="shared" si="1"/>
        <v>0.5927419355</v>
      </c>
    </row>
    <row r="5">
      <c r="A5" s="7">
        <v>3.0</v>
      </c>
      <c r="B5" s="7" t="s">
        <v>19</v>
      </c>
      <c r="C5" s="7" t="s">
        <v>23</v>
      </c>
      <c r="D5" s="7" t="s">
        <v>21</v>
      </c>
      <c r="E5" s="7" t="s">
        <v>21</v>
      </c>
      <c r="F5" s="11"/>
      <c r="G5" s="11"/>
      <c r="H5" s="11"/>
      <c r="I5" s="11"/>
      <c r="J5" s="11"/>
      <c r="K5" s="11"/>
      <c r="L5" s="11"/>
      <c r="M5" s="9"/>
      <c r="N5" s="7">
        <v>0.85</v>
      </c>
      <c r="O5" s="7">
        <v>0.68</v>
      </c>
      <c r="P5" s="7"/>
      <c r="Q5" s="7">
        <v>0.42</v>
      </c>
      <c r="R5" s="7">
        <v>0.67</v>
      </c>
      <c r="S5" s="10">
        <f t="shared" si="1"/>
        <v>0.5163302752</v>
      </c>
    </row>
    <row r="6">
      <c r="A6" s="7">
        <v>4.0</v>
      </c>
      <c r="B6" s="7" t="s">
        <v>19</v>
      </c>
      <c r="C6" s="7" t="s">
        <v>24</v>
      </c>
      <c r="D6" s="7" t="s">
        <v>21</v>
      </c>
      <c r="E6" s="7" t="s">
        <v>21</v>
      </c>
      <c r="F6" s="11"/>
      <c r="G6" s="11"/>
      <c r="H6" s="11"/>
      <c r="I6" s="11"/>
      <c r="J6" s="11"/>
      <c r="K6" s="11"/>
      <c r="L6" s="11"/>
      <c r="M6" s="9"/>
      <c r="N6" s="7">
        <v>0.94</v>
      </c>
      <c r="O6" s="7">
        <v>0.0</v>
      </c>
      <c r="P6" s="7"/>
      <c r="Q6" s="7">
        <v>0.26</v>
      </c>
      <c r="R6" s="7">
        <v>1.0</v>
      </c>
      <c r="S6" s="10">
        <f t="shared" si="1"/>
        <v>0.4126984127</v>
      </c>
    </row>
    <row r="7">
      <c r="A7" s="7">
        <v>5.0</v>
      </c>
      <c r="B7" s="7" t="s">
        <v>19</v>
      </c>
      <c r="C7" s="7" t="s">
        <v>25</v>
      </c>
      <c r="D7" s="9"/>
      <c r="E7" s="9"/>
      <c r="F7" s="9"/>
      <c r="G7" s="9"/>
      <c r="H7" s="9"/>
      <c r="I7" s="9"/>
      <c r="J7" s="9"/>
      <c r="K7" s="9"/>
      <c r="L7" s="9"/>
      <c r="M7" s="7" t="s">
        <v>26</v>
      </c>
      <c r="N7" s="7">
        <v>0.77</v>
      </c>
      <c r="O7" s="7">
        <v>0.97</v>
      </c>
      <c r="P7" s="7"/>
      <c r="Q7" s="7">
        <v>0.71</v>
      </c>
      <c r="R7" s="7">
        <v>0.2</v>
      </c>
      <c r="S7" s="10">
        <f t="shared" si="1"/>
        <v>0.3120879121</v>
      </c>
    </row>
    <row r="8">
      <c r="A8" s="7">
        <v>6.0</v>
      </c>
      <c r="B8" s="7" t="s">
        <v>19</v>
      </c>
      <c r="C8" s="7" t="s">
        <v>27</v>
      </c>
      <c r="D8" s="9"/>
      <c r="E8" s="9"/>
      <c r="F8" s="9"/>
      <c r="G8" s="9"/>
      <c r="H8" s="9"/>
      <c r="I8" s="9"/>
      <c r="J8" s="9"/>
      <c r="K8" s="9"/>
      <c r="L8" s="9"/>
      <c r="M8" s="7" t="s">
        <v>26</v>
      </c>
      <c r="N8" s="7">
        <v>0.75</v>
      </c>
      <c r="O8" s="7">
        <v>0.99</v>
      </c>
      <c r="P8" s="7"/>
      <c r="Q8" s="7">
        <v>0.74</v>
      </c>
      <c r="R8" s="7">
        <v>0.08</v>
      </c>
      <c r="S8" s="10">
        <f t="shared" si="1"/>
        <v>0.1443902439</v>
      </c>
    </row>
    <row r="9">
      <c r="A9" s="7">
        <v>7.0</v>
      </c>
      <c r="B9" s="7" t="s">
        <v>19</v>
      </c>
      <c r="C9" s="7" t="s">
        <v>28</v>
      </c>
      <c r="D9" s="9"/>
      <c r="E9" s="9"/>
      <c r="F9" s="9"/>
      <c r="G9" s="9"/>
      <c r="H9" s="9"/>
      <c r="I9" s="9"/>
      <c r="J9" s="9"/>
      <c r="K9" s="9"/>
      <c r="L9" s="9"/>
      <c r="M9" s="7" t="s">
        <v>26</v>
      </c>
      <c r="N9" s="7">
        <v>0.76</v>
      </c>
      <c r="O9" s="7">
        <v>0.98</v>
      </c>
      <c r="P9" s="7"/>
      <c r="Q9" s="7">
        <v>0.76</v>
      </c>
      <c r="R9" s="7">
        <v>0.14</v>
      </c>
      <c r="S9" s="10">
        <f t="shared" si="1"/>
        <v>0.2364444444</v>
      </c>
    </row>
    <row r="10">
      <c r="A10" s="7">
        <v>8.0</v>
      </c>
      <c r="B10" s="7" t="s">
        <v>19</v>
      </c>
      <c r="C10" s="7" t="s">
        <v>29</v>
      </c>
      <c r="D10" s="9"/>
      <c r="E10" s="9"/>
      <c r="F10" s="9"/>
      <c r="G10" s="9"/>
      <c r="H10" s="9"/>
      <c r="I10" s="9"/>
      <c r="J10" s="9"/>
      <c r="K10" s="9"/>
      <c r="L10" s="9"/>
      <c r="M10" s="7" t="s">
        <v>26</v>
      </c>
      <c r="N10" s="7">
        <v>0.77</v>
      </c>
      <c r="O10" s="7">
        <v>0.79</v>
      </c>
      <c r="P10" s="7"/>
      <c r="Q10" s="7">
        <v>0.37</v>
      </c>
      <c r="R10" s="7">
        <v>0.35</v>
      </c>
      <c r="S10" s="10">
        <f t="shared" si="1"/>
        <v>0.3597222222</v>
      </c>
    </row>
    <row r="11">
      <c r="A11" s="7">
        <v>9.0</v>
      </c>
      <c r="B11" s="7" t="s">
        <v>19</v>
      </c>
      <c r="C11" s="7" t="s">
        <v>20</v>
      </c>
      <c r="D11" s="9"/>
      <c r="E11" s="9"/>
      <c r="F11" s="9"/>
      <c r="G11" s="9"/>
      <c r="H11" s="9"/>
      <c r="I11" s="9"/>
      <c r="J11" s="9"/>
      <c r="K11" s="9"/>
      <c r="L11" s="9"/>
      <c r="M11" s="7" t="s">
        <v>30</v>
      </c>
      <c r="N11" s="7">
        <v>0.81</v>
      </c>
      <c r="O11" s="7">
        <v>0.75</v>
      </c>
      <c r="P11" s="7"/>
      <c r="Q11" s="7">
        <v>0.42</v>
      </c>
      <c r="R11" s="7">
        <v>0.5</v>
      </c>
      <c r="S11" s="10">
        <f t="shared" si="1"/>
        <v>0.4565217391</v>
      </c>
    </row>
    <row r="12">
      <c r="A12" s="7">
        <v>10.0</v>
      </c>
      <c r="B12" s="7" t="s">
        <v>19</v>
      </c>
      <c r="C12" s="7" t="s">
        <v>23</v>
      </c>
      <c r="D12" s="9"/>
      <c r="E12" s="9"/>
      <c r="F12" s="9"/>
      <c r="G12" s="9"/>
      <c r="H12" s="9"/>
      <c r="I12" s="9"/>
      <c r="J12" s="9"/>
      <c r="K12" s="9"/>
      <c r="L12" s="9"/>
      <c r="M12" s="7" t="s">
        <v>30</v>
      </c>
      <c r="N12" s="7">
        <v>0.8</v>
      </c>
      <c r="O12" s="7">
        <v>0.87</v>
      </c>
      <c r="P12" s="7"/>
      <c r="Q12" s="7">
        <v>0.53</v>
      </c>
      <c r="R12" s="7">
        <v>0.39</v>
      </c>
      <c r="S12" s="10">
        <f t="shared" si="1"/>
        <v>0.4493478261</v>
      </c>
    </row>
    <row r="13">
      <c r="A13" s="7">
        <v>11.0</v>
      </c>
      <c r="B13" s="7" t="s">
        <v>19</v>
      </c>
      <c r="C13" s="7" t="s">
        <v>28</v>
      </c>
      <c r="D13" s="9"/>
      <c r="E13" s="9"/>
      <c r="F13" s="9"/>
      <c r="G13" s="9"/>
      <c r="H13" s="9"/>
      <c r="I13" s="9"/>
      <c r="J13" s="9"/>
      <c r="K13" s="9"/>
      <c r="L13" s="9"/>
      <c r="M13" s="7" t="s">
        <v>30</v>
      </c>
      <c r="N13" s="7">
        <v>0.74</v>
      </c>
      <c r="O13" s="7">
        <v>1.0</v>
      </c>
      <c r="P13" s="7"/>
      <c r="Q13" s="7">
        <v>0.88</v>
      </c>
      <c r="R13" s="7">
        <v>0.01</v>
      </c>
      <c r="S13" s="10">
        <f t="shared" si="1"/>
        <v>0.0197752809</v>
      </c>
    </row>
    <row r="14">
      <c r="A14" s="7">
        <v>12.0</v>
      </c>
      <c r="B14" s="7" t="s">
        <v>31</v>
      </c>
      <c r="C14" s="7" t="s">
        <v>28</v>
      </c>
      <c r="D14" s="9"/>
      <c r="E14" s="9"/>
      <c r="F14" s="9"/>
      <c r="G14" s="9"/>
      <c r="H14" s="9"/>
      <c r="I14" s="9"/>
      <c r="J14" s="9"/>
      <c r="K14" s="9"/>
      <c r="L14" s="9"/>
      <c r="M14" s="7" t="s">
        <v>32</v>
      </c>
      <c r="N14" s="7">
        <v>0.75</v>
      </c>
      <c r="O14" s="7">
        <v>0.99</v>
      </c>
      <c r="P14" s="7"/>
      <c r="Q14" s="7">
        <v>0.64</v>
      </c>
      <c r="R14" s="7">
        <v>0.07</v>
      </c>
      <c r="S14" s="10">
        <f t="shared" si="1"/>
        <v>0.1261971831</v>
      </c>
    </row>
    <row r="15">
      <c r="A15" s="7">
        <v>13.0</v>
      </c>
      <c r="B15" s="7" t="s">
        <v>31</v>
      </c>
      <c r="C15" s="7" t="s">
        <v>28</v>
      </c>
      <c r="D15" s="9"/>
      <c r="E15" s="9"/>
      <c r="F15" s="9"/>
      <c r="G15" s="9"/>
      <c r="H15" s="9"/>
      <c r="I15" s="9"/>
      <c r="J15" s="9"/>
      <c r="K15" s="9"/>
      <c r="L15" s="9"/>
      <c r="M15" s="12" t="s">
        <v>33</v>
      </c>
      <c r="N15" s="7">
        <v>0.73</v>
      </c>
      <c r="O15" s="7">
        <v>1.0</v>
      </c>
      <c r="P15" s="7"/>
      <c r="Q15" s="7">
        <v>0.82</v>
      </c>
      <c r="R15" s="7">
        <v>0.0</v>
      </c>
      <c r="S15" s="10">
        <f t="shared" si="1"/>
        <v>0</v>
      </c>
    </row>
    <row r="16">
      <c r="A16" s="7">
        <v>14.0</v>
      </c>
      <c r="B16" s="7" t="s">
        <v>34</v>
      </c>
      <c r="C16" s="7" t="s">
        <v>28</v>
      </c>
      <c r="D16" s="9"/>
      <c r="E16" s="9"/>
      <c r="F16" s="9"/>
      <c r="G16" s="9"/>
      <c r="H16" s="9"/>
      <c r="I16" s="9"/>
      <c r="J16" s="9"/>
      <c r="K16" s="9"/>
      <c r="L16" s="9"/>
      <c r="M16" s="12" t="s">
        <v>35</v>
      </c>
      <c r="N16" s="7">
        <v>0.74</v>
      </c>
      <c r="O16" s="7">
        <v>1.0</v>
      </c>
      <c r="P16" s="7"/>
      <c r="Q16" s="7">
        <v>0.71</v>
      </c>
      <c r="R16" s="7">
        <v>0.02</v>
      </c>
      <c r="S16" s="10">
        <f t="shared" si="1"/>
        <v>0.03890410959</v>
      </c>
    </row>
    <row r="17">
      <c r="A17" s="7">
        <v>15.0</v>
      </c>
      <c r="B17" s="7" t="s">
        <v>36</v>
      </c>
      <c r="C17" s="7" t="s">
        <v>20</v>
      </c>
      <c r="D17" s="7" t="s">
        <v>21</v>
      </c>
      <c r="E17" s="7" t="s">
        <v>21</v>
      </c>
      <c r="F17" s="11"/>
      <c r="G17" s="11"/>
      <c r="H17" s="11"/>
      <c r="I17" s="11"/>
      <c r="J17" s="11"/>
      <c r="K17" s="11"/>
      <c r="L17" s="11"/>
      <c r="M17" s="12" t="s">
        <v>37</v>
      </c>
      <c r="N17" s="7">
        <v>0.84</v>
      </c>
      <c r="O17" s="7">
        <v>0.73</v>
      </c>
      <c r="P17" s="7"/>
      <c r="Q17" s="7">
        <v>0.44</v>
      </c>
      <c r="R17" s="7">
        <v>0.61</v>
      </c>
      <c r="S17" s="10">
        <f t="shared" si="1"/>
        <v>0.5112380952</v>
      </c>
    </row>
    <row r="18">
      <c r="A18" s="7">
        <v>16.0</v>
      </c>
      <c r="B18" s="7" t="s">
        <v>36</v>
      </c>
      <c r="C18" s="7" t="s">
        <v>22</v>
      </c>
      <c r="D18" s="7" t="s">
        <v>21</v>
      </c>
      <c r="E18" s="7" t="s">
        <v>21</v>
      </c>
      <c r="F18" s="11"/>
      <c r="G18" s="11"/>
      <c r="H18" s="11"/>
      <c r="I18" s="11"/>
      <c r="J18" s="11"/>
      <c r="K18" s="11"/>
      <c r="L18" s="11"/>
      <c r="M18" s="12" t="s">
        <v>38</v>
      </c>
      <c r="N18" s="7">
        <v>0.89</v>
      </c>
      <c r="O18" s="7">
        <v>0.71</v>
      </c>
      <c r="P18" s="7"/>
      <c r="Q18" s="7">
        <v>0.49</v>
      </c>
      <c r="R18" s="7">
        <v>0.76</v>
      </c>
      <c r="S18" s="10">
        <f t="shared" si="1"/>
        <v>0.59584</v>
      </c>
    </row>
    <row r="19">
      <c r="A19" s="7">
        <v>17.0</v>
      </c>
      <c r="B19" s="7" t="s">
        <v>36</v>
      </c>
      <c r="C19" s="7" t="s">
        <v>39</v>
      </c>
      <c r="D19" s="7" t="s">
        <v>21</v>
      </c>
      <c r="E19" s="7" t="s">
        <v>21</v>
      </c>
      <c r="F19" s="11"/>
      <c r="G19" s="11"/>
      <c r="H19" s="11"/>
      <c r="I19" s="11"/>
      <c r="J19" s="11"/>
      <c r="K19" s="11"/>
      <c r="L19" s="11"/>
      <c r="M19" s="12" t="s">
        <v>40</v>
      </c>
      <c r="N19" s="7">
        <v>0.78</v>
      </c>
      <c r="O19" s="7">
        <v>0.77</v>
      </c>
      <c r="P19" s="7"/>
      <c r="Q19" s="7">
        <v>0.38</v>
      </c>
      <c r="R19" s="7">
        <v>0.4</v>
      </c>
      <c r="S19" s="10">
        <f t="shared" si="1"/>
        <v>0.3897435897</v>
      </c>
    </row>
    <row r="20">
      <c r="A20" s="7">
        <v>18.0</v>
      </c>
      <c r="B20" s="7" t="s">
        <v>36</v>
      </c>
      <c r="C20" s="7" t="s">
        <v>41</v>
      </c>
      <c r="D20" s="7" t="s">
        <v>21</v>
      </c>
      <c r="E20" s="7" t="s">
        <v>21</v>
      </c>
      <c r="F20" s="11"/>
      <c r="G20" s="11"/>
      <c r="H20" s="11"/>
      <c r="I20" s="11"/>
      <c r="J20" s="11"/>
      <c r="K20" s="11"/>
      <c r="L20" s="11"/>
      <c r="M20" s="12" t="s">
        <v>42</v>
      </c>
      <c r="N20" s="7">
        <v>0.78</v>
      </c>
      <c r="O20" s="7">
        <v>0.95</v>
      </c>
      <c r="P20" s="7"/>
      <c r="Q20" s="7">
        <v>0.66</v>
      </c>
      <c r="R20" s="7">
        <v>0.27</v>
      </c>
      <c r="S20" s="10">
        <f t="shared" si="1"/>
        <v>0.3832258065</v>
      </c>
    </row>
    <row r="21">
      <c r="A21" s="7">
        <v>19.0</v>
      </c>
      <c r="B21" s="7" t="s">
        <v>43</v>
      </c>
      <c r="C21" s="7" t="s">
        <v>44</v>
      </c>
      <c r="D21" s="7" t="s">
        <v>21</v>
      </c>
      <c r="E21" s="7" t="s">
        <v>21</v>
      </c>
      <c r="F21" s="11"/>
      <c r="G21" s="11"/>
      <c r="H21" s="11"/>
      <c r="I21" s="11"/>
      <c r="J21" s="11"/>
      <c r="K21" s="11"/>
      <c r="L21" s="11"/>
      <c r="M21" s="12" t="s">
        <v>45</v>
      </c>
      <c r="N21" s="7">
        <v>0.9</v>
      </c>
      <c r="O21" s="7">
        <v>0.74</v>
      </c>
      <c r="P21" s="7"/>
      <c r="Q21" s="7">
        <v>0.51</v>
      </c>
      <c r="R21" s="7">
        <v>0.76</v>
      </c>
      <c r="S21" s="10">
        <f t="shared" si="1"/>
        <v>0.6103937008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7">
        <v>20.0</v>
      </c>
      <c r="B22" s="7" t="s">
        <v>46</v>
      </c>
      <c r="C22" s="7" t="s">
        <v>24</v>
      </c>
      <c r="D22" s="11"/>
      <c r="E22" s="11"/>
      <c r="F22" s="7" t="s">
        <v>21</v>
      </c>
      <c r="G22" s="7" t="s">
        <v>21</v>
      </c>
      <c r="H22" s="7" t="s">
        <v>21</v>
      </c>
      <c r="I22" s="7"/>
      <c r="J22" s="7"/>
      <c r="K22" s="7"/>
      <c r="L22" s="7"/>
      <c r="M22" s="9"/>
      <c r="N22" s="7">
        <v>0.76</v>
      </c>
      <c r="O22" s="7">
        <v>0.88</v>
      </c>
      <c r="P22" s="7">
        <v>0.81</v>
      </c>
      <c r="Q22" s="7">
        <v>0.46</v>
      </c>
      <c r="R22" s="7">
        <v>0.28</v>
      </c>
      <c r="S22" s="10">
        <f t="shared" si="1"/>
        <v>0.3481081081</v>
      </c>
    </row>
    <row r="23">
      <c r="A23" s="7">
        <v>21.0</v>
      </c>
      <c r="B23" s="7" t="s">
        <v>46</v>
      </c>
      <c r="C23" s="7" t="s">
        <v>20</v>
      </c>
      <c r="D23" s="11"/>
      <c r="E23" s="11"/>
      <c r="F23" s="7" t="s">
        <v>21</v>
      </c>
      <c r="G23" s="7" t="s">
        <v>21</v>
      </c>
      <c r="H23" s="7" t="s">
        <v>21</v>
      </c>
      <c r="I23" s="7" t="s">
        <v>21</v>
      </c>
      <c r="J23" s="7" t="s">
        <v>21</v>
      </c>
      <c r="K23" s="7"/>
      <c r="L23" s="7"/>
      <c r="M23" s="9"/>
      <c r="N23" s="7">
        <v>0.84</v>
      </c>
      <c r="O23" s="7">
        <v>0.73</v>
      </c>
      <c r="P23" s="7">
        <v>0.78</v>
      </c>
      <c r="Q23" s="7">
        <v>0.48</v>
      </c>
      <c r="R23" s="7">
        <v>0.64</v>
      </c>
      <c r="S23" s="10">
        <f t="shared" si="1"/>
        <v>0.5485714286</v>
      </c>
    </row>
    <row r="24">
      <c r="A24" s="7">
        <v>22.0</v>
      </c>
      <c r="B24" s="7" t="s">
        <v>46</v>
      </c>
      <c r="C24" s="7" t="s">
        <v>47</v>
      </c>
      <c r="D24" s="9"/>
      <c r="E24" s="14" t="s">
        <v>21</v>
      </c>
      <c r="F24" s="7" t="s">
        <v>21</v>
      </c>
      <c r="G24" s="7" t="s">
        <v>21</v>
      </c>
      <c r="H24" s="7" t="s">
        <v>21</v>
      </c>
      <c r="I24" s="7" t="s">
        <v>21</v>
      </c>
      <c r="J24" s="7" t="s">
        <v>21</v>
      </c>
      <c r="K24" s="7"/>
      <c r="L24" s="7"/>
      <c r="M24" s="9"/>
      <c r="N24" s="7">
        <v>0.83</v>
      </c>
      <c r="O24" s="7">
        <v>0.76</v>
      </c>
      <c r="P24" s="7">
        <v>0.79</v>
      </c>
      <c r="Q24" s="7">
        <v>0.49</v>
      </c>
      <c r="R24" s="7">
        <v>0.6</v>
      </c>
      <c r="S24" s="10">
        <f t="shared" si="1"/>
        <v>0.5394495413</v>
      </c>
    </row>
    <row r="25">
      <c r="A25" s="7">
        <v>23.0</v>
      </c>
      <c r="B25" s="7" t="s">
        <v>46</v>
      </c>
      <c r="C25" s="7" t="s">
        <v>27</v>
      </c>
      <c r="D25" s="9"/>
      <c r="E25" s="14" t="s">
        <v>21</v>
      </c>
      <c r="F25" s="7" t="s">
        <v>21</v>
      </c>
      <c r="G25" s="7" t="s">
        <v>21</v>
      </c>
      <c r="H25" s="7" t="s">
        <v>21</v>
      </c>
      <c r="I25" s="7"/>
      <c r="J25" s="7" t="s">
        <v>21</v>
      </c>
      <c r="K25" s="7" t="s">
        <v>21</v>
      </c>
      <c r="L25" s="7"/>
      <c r="M25" s="9"/>
      <c r="N25" s="7">
        <v>0.83</v>
      </c>
      <c r="O25" s="7">
        <v>0.76</v>
      </c>
      <c r="P25" s="7">
        <v>0.8</v>
      </c>
      <c r="Q25" s="7">
        <v>0.49</v>
      </c>
      <c r="R25" s="7">
        <v>0.61</v>
      </c>
      <c r="S25" s="10">
        <f t="shared" si="1"/>
        <v>0.5434545455</v>
      </c>
    </row>
    <row r="26">
      <c r="A26" s="7">
        <v>24.0</v>
      </c>
      <c r="B26" s="7" t="s">
        <v>46</v>
      </c>
      <c r="C26" s="7" t="s">
        <v>25</v>
      </c>
      <c r="D26" s="9"/>
      <c r="E26" s="14" t="s">
        <v>21</v>
      </c>
      <c r="F26" s="7" t="s">
        <v>21</v>
      </c>
      <c r="G26" s="7" t="s">
        <v>21</v>
      </c>
      <c r="H26" s="7" t="s">
        <v>21</v>
      </c>
      <c r="I26" s="7" t="s">
        <v>21</v>
      </c>
      <c r="J26" s="7" t="s">
        <v>21</v>
      </c>
      <c r="K26" s="7" t="s">
        <v>21</v>
      </c>
      <c r="L26" s="7"/>
      <c r="M26" s="14"/>
      <c r="N26" s="7">
        <v>0.83</v>
      </c>
      <c r="O26" s="7">
        <v>0.78</v>
      </c>
      <c r="P26" s="7">
        <v>0.8</v>
      </c>
      <c r="Q26" s="7">
        <v>0.51</v>
      </c>
      <c r="R26" s="7">
        <v>0.6</v>
      </c>
      <c r="S26" s="10">
        <f t="shared" si="1"/>
        <v>0.5513513514</v>
      </c>
    </row>
    <row r="27">
      <c r="A27" s="7">
        <v>25.0</v>
      </c>
      <c r="B27" s="7" t="s">
        <v>46</v>
      </c>
      <c r="C27" s="7" t="s">
        <v>22</v>
      </c>
      <c r="D27" s="9"/>
      <c r="E27" s="9"/>
      <c r="F27" s="7" t="s">
        <v>21</v>
      </c>
      <c r="G27" s="7" t="s">
        <v>21</v>
      </c>
      <c r="H27" s="7" t="s">
        <v>21</v>
      </c>
      <c r="I27" s="7" t="s">
        <v>21</v>
      </c>
      <c r="J27" s="7" t="s">
        <v>21</v>
      </c>
      <c r="K27" s="7" t="s">
        <v>21</v>
      </c>
      <c r="L27" s="7" t="s">
        <v>21</v>
      </c>
      <c r="M27" s="9"/>
      <c r="N27" s="7">
        <v>0.85</v>
      </c>
      <c r="O27" s="7">
        <v>0.81</v>
      </c>
      <c r="P27" s="7">
        <v>0.83</v>
      </c>
      <c r="Q27" s="7">
        <v>0.57</v>
      </c>
      <c r="R27" s="7">
        <v>0.63</v>
      </c>
      <c r="S27" s="10">
        <f t="shared" si="1"/>
        <v>0.5985</v>
      </c>
    </row>
    <row r="28">
      <c r="A28" s="7">
        <v>26.0</v>
      </c>
      <c r="B28" s="7" t="s">
        <v>46</v>
      </c>
      <c r="C28" s="7" t="s">
        <v>48</v>
      </c>
      <c r="D28" s="9"/>
      <c r="E28" s="9"/>
      <c r="F28" s="14" t="s">
        <v>21</v>
      </c>
      <c r="G28" s="14" t="s">
        <v>21</v>
      </c>
      <c r="H28" s="14" t="s">
        <v>21</v>
      </c>
      <c r="I28" s="14" t="s">
        <v>21</v>
      </c>
      <c r="J28" s="14" t="s">
        <v>21</v>
      </c>
      <c r="K28" s="14" t="s">
        <v>21</v>
      </c>
      <c r="L28" s="14" t="s">
        <v>21</v>
      </c>
      <c r="M28" s="9"/>
      <c r="N28" s="7">
        <v>0.82</v>
      </c>
      <c r="O28" s="7">
        <v>0.8</v>
      </c>
      <c r="P28" s="7">
        <v>0.81</v>
      </c>
      <c r="Q28" s="7">
        <v>0.5</v>
      </c>
      <c r="R28" s="7">
        <v>0.54</v>
      </c>
      <c r="S28" s="10">
        <f t="shared" si="1"/>
        <v>0.5192307692</v>
      </c>
    </row>
    <row r="29">
      <c r="A29" s="7">
        <v>27.0</v>
      </c>
      <c r="B29" s="7" t="s">
        <v>46</v>
      </c>
      <c r="C29" s="7" t="s">
        <v>49</v>
      </c>
      <c r="D29" s="9"/>
      <c r="E29" s="9"/>
      <c r="F29" s="14" t="s">
        <v>21</v>
      </c>
      <c r="G29" s="14" t="s">
        <v>21</v>
      </c>
      <c r="H29" s="14" t="s">
        <v>21</v>
      </c>
      <c r="I29" s="9"/>
      <c r="J29" s="9"/>
      <c r="K29" s="14" t="s">
        <v>21</v>
      </c>
      <c r="L29" s="14" t="s">
        <v>21</v>
      </c>
      <c r="M29" s="9"/>
      <c r="N29" s="7">
        <v>0.88</v>
      </c>
      <c r="O29" s="7">
        <v>0.76</v>
      </c>
      <c r="P29" s="7">
        <v>0.82</v>
      </c>
      <c r="Q29" s="7">
        <v>0.54</v>
      </c>
      <c r="R29" s="7">
        <v>0.72</v>
      </c>
      <c r="S29" s="10">
        <f t="shared" si="1"/>
        <v>0.6171428571</v>
      </c>
    </row>
    <row r="30">
      <c r="A30" s="15">
        <v>28.0</v>
      </c>
      <c r="B30" s="15" t="s">
        <v>46</v>
      </c>
      <c r="C30" s="15" t="s">
        <v>50</v>
      </c>
      <c r="D30" s="16"/>
      <c r="E30" s="16"/>
      <c r="F30" s="17" t="s">
        <v>21</v>
      </c>
      <c r="G30" s="17" t="s">
        <v>21</v>
      </c>
      <c r="H30" s="17" t="s">
        <v>21</v>
      </c>
      <c r="I30" s="16"/>
      <c r="J30" s="16"/>
      <c r="K30" s="17" t="s">
        <v>21</v>
      </c>
      <c r="L30" s="17" t="s">
        <v>21</v>
      </c>
      <c r="M30" s="16"/>
      <c r="N30" s="15">
        <v>0.87</v>
      </c>
      <c r="O30" s="15">
        <v>0.82</v>
      </c>
      <c r="P30" s="15">
        <v>0.84</v>
      </c>
      <c r="Q30" s="15">
        <v>0.59</v>
      </c>
      <c r="R30" s="15">
        <v>0.69</v>
      </c>
      <c r="S30" s="18">
        <f t="shared" si="1"/>
        <v>0.63609375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>
      <c r="A31" s="7">
        <v>29.0</v>
      </c>
      <c r="B31" s="7" t="s">
        <v>46</v>
      </c>
      <c r="C31" s="7" t="s">
        <v>51</v>
      </c>
      <c r="D31" s="9"/>
      <c r="E31" s="9"/>
      <c r="F31" s="14" t="s">
        <v>21</v>
      </c>
      <c r="G31" s="14" t="s">
        <v>21</v>
      </c>
      <c r="H31" s="14" t="s">
        <v>21</v>
      </c>
      <c r="I31" s="9"/>
      <c r="J31" s="14" t="s">
        <v>21</v>
      </c>
      <c r="K31" s="14" t="s">
        <v>21</v>
      </c>
      <c r="L31" s="14" t="s">
        <v>21</v>
      </c>
      <c r="M31" s="9"/>
      <c r="N31" s="7">
        <v>0.87</v>
      </c>
      <c r="O31" s="7">
        <v>0.79</v>
      </c>
      <c r="P31" s="7">
        <v>0.83</v>
      </c>
      <c r="Q31" s="7">
        <v>0.57</v>
      </c>
      <c r="R31" s="7">
        <v>0.7</v>
      </c>
      <c r="S31" s="10">
        <f t="shared" si="1"/>
        <v>0.6283464567</v>
      </c>
    </row>
    <row r="32">
      <c r="A32" s="7">
        <v>30.0</v>
      </c>
      <c r="B32" s="7" t="s">
        <v>52</v>
      </c>
      <c r="C32" s="7" t="s">
        <v>53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7">
        <v>0.87</v>
      </c>
      <c r="O32" s="7">
        <v>0.78</v>
      </c>
      <c r="P32" s="7"/>
      <c r="Q32" s="7">
        <v>0.53</v>
      </c>
      <c r="R32" s="7">
        <v>0.68</v>
      </c>
      <c r="S32" s="10">
        <f t="shared" si="1"/>
        <v>0.5957024793</v>
      </c>
    </row>
    <row r="33">
      <c r="A33" s="7">
        <v>31.0</v>
      </c>
      <c r="B33" s="7" t="s">
        <v>52</v>
      </c>
      <c r="C33" s="7" t="s">
        <v>54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7">
        <v>0.88</v>
      </c>
      <c r="O33" s="7">
        <v>0.75</v>
      </c>
      <c r="P33" s="7"/>
      <c r="Q33" s="7">
        <v>0.51</v>
      </c>
      <c r="R33" s="7">
        <v>0.71</v>
      </c>
      <c r="S33" s="10">
        <f t="shared" si="1"/>
        <v>0.5936065574</v>
      </c>
    </row>
  </sheetData>
  <mergeCells count="7">
    <mergeCell ref="A1:A2"/>
    <mergeCell ref="B1:B2"/>
    <mergeCell ref="C1:C2"/>
    <mergeCell ref="D1:L1"/>
    <mergeCell ref="M1:M2"/>
    <mergeCell ref="N1:P1"/>
    <mergeCell ref="Q1:S1"/>
  </mergeCells>
  <drawing r:id="rId1"/>
</worksheet>
</file>